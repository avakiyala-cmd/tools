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aS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<sst xmlns="http://schemas.openxmlformats.org/spreadsheetml/2006/main" count="35" uniqueCount="35">
  <si>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SaaS Financial Model - 5 Year P&amp;L</t>
  </si>
  <si>
    <t xml:space="preserve">Vectral AI | www.vectralai.com</t>
  </si>
  <si>
    <t xml:space="preserve">ASSUMPTIONS</t>
  </si>
  <si>
    <t xml:space="preserve">Monthly price per user ($)</t>
  </si>
  <si>
    <t xml:space="preserve">Starting MRR ($)</t>
  </si>
  <si>
    <t xml:space="preserve">Monthly MRR growth rate (%)</t>
  </si>
  <si>
    <t xml:space="preserve">Gross margin (%)</t>
  </si>
  <si>
    <t xml:space="preserve">Monthly churn (%)</t>
  </si>
  <si>
    <t xml:space="preserve">CAC ($)</t>
  </si>
  <si>
    <t xml:space="preserve">Monthly new customers</t>
  </si>
  <si>
    <t xml:space="preserve">Headcount (starting)</t>
  </si>
  <si>
    <t xml:space="preserve">Avg salary per person ($)</t>
  </si>
  <si>
    <t xml:space="preserve">Salary growth per year (%)</t>
  </si>
  <si>
    <t xml:space="preserve">Other monthly opex ($)</t>
  </si>
  <si>
    <t xml:space="preserve">5-YEAR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</si>
  <si>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</si>
  <si>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</si>
  <si>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</si>
  <si>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</si>
  <si>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</si>
  <si>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ARR</t>
  </si>
  <si>
    <t xml:space="preserve">Revenue</t>
  </si>
  <si>
    <t xml:space="preserve">COGS</t>
  </si>
  <si>
    <t xml:space="preserve">Gross Profit</t>
  </si>
  <si>
    <t xml:space="preserve">Gross Margin</t>
  </si>
  <si>
    <t xml:space="preserve">Salaries</t>
  </si>
  <si>
    <t xml:space="preserve">CAC Spend</t>
  </si>
  <si>
    <t xml:space="preserve">Other Opex</t>
  </si>
  <si>
    <t xml:space="preserve">Total Opex</t>
  </si>
  <si>
    <t xml:space="preserve">EBITDA</t>
  </si>
  <si>
    <t xml:space="preserve">EBITDA Margin</t>
  </si>
  <si>
    <t xml:space="preserve">Customers (end of year)</t>
  </si>
  <si>
    <t xml:space="preserve">MRR (end of year)</t>
  </si>
  <si>
    <t xml:space="preserve">LTV</t>
  </si>
  <si>
    <t xml:space="preserve">LTV/CAC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</si>
</sst>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%"/>
    <numFmt numFmtId="167" formatCode="0.0%"/>
    <numFmt numFmtId="168" formatCode="#,##0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49</v>
      </c>
    </row>
    <row r="6" customFormat="false" ht="15" hidden="false" customHeight="true" outlineLevel="0" collapsed="false">
      <c r="A6" s="5" t="s">
        <v>4</v>
      </c>
      <c r="B6" s="6" t="n">
        <v>5000</v>
      </c>
    </row>
    <row r="7" customFormat="false" ht="15" hidden="false" customHeight="true" outlineLevel="0" collapsed="false">
      <c r="A7" s="5" t="s">
        <v>5</v>
      </c>
      <c r="B7" s="7" t="n">
        <v>0.08</v>
      </c>
    </row>
    <row r="8" customFormat="false" ht="15" hidden="false" customHeight="true" outlineLevel="0" collapsed="false">
      <c r="A8" s="5" t="s">
        <v>6</v>
      </c>
      <c r="B8" s="7" t="n">
        <v>0.8</v>
      </c>
    </row>
    <row r="9" customFormat="false" ht="15" hidden="false" customHeight="true" outlineLevel="0" collapsed="false">
      <c r="A9" s="5" t="s">
        <v>7</v>
      </c>
      <c r="B9" s="7" t="n">
        <v>0.05</v>
      </c>
    </row>
    <row r="10" customFormat="false" ht="15" hidden="false" customHeight="true" outlineLevel="0" collapsed="false">
      <c r="A10" s="5" t="s">
        <v>8</v>
      </c>
      <c r="B10" s="6" t="n">
        <v>200</v>
      </c>
    </row>
    <row r="11" customFormat="false" ht="15" hidden="false" customHeight="true" outlineLevel="0" collapsed="false">
      <c r="A11" s="5" t="s">
        <v>9</v>
      </c>
      <c r="B11" s="6" t="n">
        <v>20</v>
      </c>
    </row>
    <row r="12" customFormat="false" ht="15" hidden="false" customHeight="true" outlineLevel="0" collapsed="false">
      <c r="A12" s="5" t="s">
        <v>10</v>
      </c>
      <c r="B12" s="6" t="n">
        <v>5</v>
      </c>
    </row>
    <row r="13" customFormat="false" ht="15" hidden="false" customHeight="true" outlineLevel="0" collapsed="false">
      <c r="A13" s="5" t="s">
        <v>11</v>
      </c>
      <c r="B13" s="6" t="n">
        <v>80000</v>
      </c>
    </row>
    <row r="14" customFormat="false" ht="15" hidden="false" customHeight="true" outlineLevel="0" collapsed="false">
      <c r="A14" s="5" t="s">
        <v>12</v>
      </c>
      <c r="B14" s="7" t="n">
        <v>0.1</v>
      </c>
    </row>
    <row r="15" customFormat="false" ht="15" hidden="false" customHeight="true" outlineLevel="0" collapsed="false">
      <c r="A15" s="5" t="s">
        <v>13</v>
      </c>
      <c r="B15" s="6" t="n">
        <v>10000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8"/>
      <c r="B19" s="8" t="s">
        <v>15</v>
      </c>
      <c r="C19" s="8" t="s">
        <v>16</v>
      </c>
      <c r="D19" s="8" t="s">
        <v>17</v>
      </c>
      <c r="E19" s="8" t="s">
        <v>18</v>
      </c>
      <c r="F19" s="8" t="s">
        <v>19</v>
      </c>
    </row>
    <row r="20" customFormat="false" ht="15" hidden="false" customHeight="true" outlineLevel="0" collapsed="false">
      <c r="A20" s="9" t="s">
        <v>20</v>
      </c>
      <c r="B20" s="10" t="n">
        <f aca="false">B6*(1+B8)^(0*12)*12</f>
        <v>60000</v>
      </c>
      <c r="C20" s="10" t="n">
        <f aca="false">C36*12</f>
        <v>15</v>
      </c>
      <c r="D20" s="10" t="n">
        <f aca="false">D36*12</f>
        <v>15</v>
      </c>
      <c r="E20" s="10" t="n">
        <f aca="false">E36*12</f>
        <v>15</v>
      </c>
      <c r="F20" s="10" t="n">
        <f aca="false">F36*12</f>
        <v>15</v>
      </c>
    </row>
    <row r="21" customFormat="false" ht="15" hidden="false" customHeight="true" outlineLevel="0" collapsed="false">
      <c r="A21" s="5" t="s">
        <v>21</v>
      </c>
      <c r="B21" s="10" t="n">
        <f aca="false">B20</f>
        <v>60000</v>
      </c>
      <c r="C21" s="10" t="n">
        <f aca="false">C20</f>
        <v>15</v>
      </c>
      <c r="D21" s="10" t="n">
        <f aca="false">D20</f>
        <v>15</v>
      </c>
      <c r="E21" s="10" t="n">
        <f aca="false">E20</f>
        <v>15</v>
      </c>
      <c r="F21" s="10" t="n">
        <f aca="false">F20</f>
        <v>15</v>
      </c>
    </row>
    <row r="22" customFormat="false" ht="15" hidden="false" customHeight="true" outlineLevel="0" collapsed="false">
      <c r="A22" s="5" t="s">
        <v>22</v>
      </c>
      <c r="B22" s="10" t="n">
        <f aca="false">B21*(1-$B$9)</f>
        <v>57000</v>
      </c>
      <c r="C22" s="10" t="n">
        <f aca="false">C21*(1-$B$9)</f>
        <v>14.25</v>
      </c>
      <c r="D22" s="10" t="n">
        <f aca="false">D21*(1-$B$9)</f>
        <v>14.25</v>
      </c>
      <c r="E22" s="10" t="n">
        <f aca="false">E21*(1-$B$9)</f>
        <v>14.25</v>
      </c>
      <c r="F22" s="10" t="n">
        <f aca="false">F21*(1-$B$9)</f>
        <v>14.25</v>
      </c>
    </row>
    <row r="23" customFormat="false" ht="15" hidden="false" customHeight="true" outlineLevel="0" collapsed="false">
      <c r="A23" s="9" t="s">
        <v>23</v>
      </c>
      <c r="B23" s="10" t="n">
        <f aca="false">B21-B22</f>
        <v>3000</v>
      </c>
      <c r="C23" s="10" t="n">
        <f aca="false">C21-C22</f>
        <v>0.75</v>
      </c>
      <c r="D23" s="10" t="n">
        <f aca="false">D21-D22</f>
        <v>0.75</v>
      </c>
      <c r="E23" s="10" t="n">
        <f aca="false">E21-E22</f>
        <v>0.75</v>
      </c>
      <c r="F23" s="10" t="n">
        <f aca="false">F21-F22</f>
        <v>0.75</v>
      </c>
    </row>
    <row r="24" customFormat="false" ht="15" hidden="false" customHeight="true" outlineLevel="0" collapsed="false">
      <c r="A24" s="5" t="s">
        <v>24</v>
      </c>
      <c r="B24" s="11" t="n">
        <f aca="false">B23/B21</f>
        <v>0.05</v>
      </c>
      <c r="C24" s="11" t="n">
        <f aca="false">C23/C21</f>
        <v>0.05</v>
      </c>
      <c r="D24" s="11" t="n">
        <f aca="false">D23/D21</f>
        <v>0.05</v>
      </c>
      <c r="E24" s="11" t="n">
        <f aca="false">E23/E21</f>
        <v>0.05</v>
      </c>
      <c r="F24" s="11" t="n">
        <f aca="false">F23/F21</f>
        <v>0.05</v>
      </c>
    </row>
    <row r="25" customFormat="false" ht="15" hidden="false" customHeight="true" outlineLevel="0" collapsed="false">
      <c r="A25" s="5"/>
    </row>
    <row r="26" customFormat="false" ht="15" hidden="false" customHeight="true" outlineLevel="0" collapsed="false">
      <c r="A26" s="5" t="s">
        <v>25</v>
      </c>
      <c r="B26" s="10" t="n">
        <f aca="false">$B$13*$B$14*(1+$B$15)^0</f>
        <v>8000</v>
      </c>
      <c r="C26" s="10" t="n">
        <f aca="false">$B$13*$B$14*(1+$B$15)^1</f>
        <v>80008000</v>
      </c>
      <c r="D26" s="10" t="n">
        <f aca="false">$B$13*$B$14*(1+$B$15)^2</f>
        <v>800160008000</v>
      </c>
      <c r="E26" s="10" t="n">
        <f aca="false">$B$13*$B$14*(1+$B$15)^3</f>
        <v>8002400240008000</v>
      </c>
      <c r="F26" s="10" t="n">
        <f aca="false">$B$13*$B$14*(1+$B$15)^4</f>
        <v>8.003200480032E+019</v>
      </c>
    </row>
    <row r="27" customFormat="false" ht="15" hidden="false" customHeight="true" outlineLevel="0" collapsed="false">
      <c r="A27" s="5" t="s">
        <v>26</v>
      </c>
      <c r="B27" s="10" t="n">
        <f aca="false">$B$11*$B$12*12</f>
        <v>1200</v>
      </c>
      <c r="C27" s="10" t="n">
        <f aca="false">$B$11*$B$12*12</f>
        <v>1200</v>
      </c>
      <c r="D27" s="10" t="n">
        <f aca="false">$B$11*$B$12*12</f>
        <v>1200</v>
      </c>
      <c r="E27" s="10" t="n">
        <f aca="false">$B$11*$B$12*12</f>
        <v>1200</v>
      </c>
      <c r="F27" s="10" t="n">
        <f aca="false">$B$11*$B$12*12</f>
        <v>1200</v>
      </c>
    </row>
    <row r="28" customFormat="false" ht="15" hidden="false" customHeight="true" outlineLevel="0" collapsed="false">
      <c r="A28" s="5" t="s">
        <v>27</v>
      </c>
      <c r="B28" s="10" t="n">
        <f aca="false">$B$16*12</f>
        <v>0</v>
      </c>
      <c r="C28" s="10" t="n">
        <f aca="false">$B$16*12</f>
        <v>0</v>
      </c>
      <c r="D28" s="10" t="n">
        <f aca="false">$B$16*12</f>
        <v>0</v>
      </c>
      <c r="E28" s="10" t="n">
        <f aca="false">$B$16*12</f>
        <v>0</v>
      </c>
      <c r="F28" s="10" t="n">
        <f aca="false">$B$16*12</f>
        <v>0</v>
      </c>
    </row>
    <row r="29" customFormat="false" ht="15" hidden="false" customHeight="true" outlineLevel="0" collapsed="false">
      <c r="A29" s="5" t="s">
        <v>28</v>
      </c>
      <c r="B29" s="10" t="n">
        <f aca="false">B26+B27+B28</f>
        <v>9200</v>
      </c>
      <c r="C29" s="10" t="n">
        <f aca="false">C26+C27+C28</f>
        <v>80009200</v>
      </c>
      <c r="D29" s="10" t="n">
        <f aca="false">D26+D27+D28</f>
        <v>800160009200</v>
      </c>
      <c r="E29" s="10" t="n">
        <f aca="false">E26+E27+E28</f>
        <v>8002400240009200</v>
      </c>
      <c r="F29" s="10" t="n">
        <f aca="false">F26+F27+F28</f>
        <v>8.003200480032E+019</v>
      </c>
    </row>
    <row r="30" customFormat="false" ht="15" hidden="false" customHeight="true" outlineLevel="0" collapsed="false">
      <c r="A30" s="5"/>
    </row>
    <row r="31" customFormat="false" ht="15" hidden="false" customHeight="true" outlineLevel="0" collapsed="false">
      <c r="A31" s="9" t="s">
        <v>29</v>
      </c>
      <c r="B31" s="12" t="n">
        <f aca="false">B23-B29</f>
        <v>-6200</v>
      </c>
      <c r="C31" s="12" t="n">
        <f aca="false">C23-C29</f>
        <v>-80009199.25</v>
      </c>
      <c r="D31" s="12" t="n">
        <f aca="false">D23-D29</f>
        <v>-800160009199.25</v>
      </c>
      <c r="E31" s="12" t="n">
        <f aca="false">E23-E29</f>
        <v>-8002400240009199</v>
      </c>
      <c r="F31" s="12" t="n">
        <f aca="false">F23-F29</f>
        <v>-8.003200480032E+019</v>
      </c>
    </row>
    <row r="32" customFormat="false" ht="15" hidden="false" customHeight="true" outlineLevel="0" collapsed="false">
      <c r="A32" s="5" t="s">
        <v>30</v>
      </c>
      <c r="B32" s="11" t="n">
        <f aca="false">B31/B21</f>
        <v>-0.103333333333333</v>
      </c>
      <c r="C32" s="11" t="n">
        <f aca="false">C31/C21</f>
        <v>-5333946.61666667</v>
      </c>
      <c r="D32" s="11" t="n">
        <f aca="false">D31/D21</f>
        <v>-53344000613.2833</v>
      </c>
      <c r="E32" s="11" t="n">
        <f aca="false">E31/E21</f>
        <v>-533493349333947</v>
      </c>
      <c r="F32" s="11" t="n">
        <f aca="false">F31/F21</f>
        <v>-5.335466986688E+018</v>
      </c>
    </row>
    <row r="33" customFormat="false" ht="15" hidden="false" customHeight="true" outlineLevel="0" collapsed="false">
      <c r="A33" s="5"/>
    </row>
    <row r="34" customFormat="false" ht="15" hidden="false" customHeight="true" outlineLevel="0" collapsed="false">
      <c r="A34" s="5" t="s">
        <v>31</v>
      </c>
      <c r="B34" s="13" t="n">
        <f aca="false">B12*12*(1-B10)</f>
        <v>-11940</v>
      </c>
      <c r="C34" s="13" t="n">
        <f aca="false">(B34+$B$12*12)*(1-$B$10)</f>
        <v>2364120</v>
      </c>
      <c r="D34" s="13" t="n">
        <f aca="false">(C34+$B$12*12)*(1-$B$10)</f>
        <v>-470471820</v>
      </c>
      <c r="E34" s="13" t="n">
        <f aca="false">(D34+$B$12*12)*(1-$B$10)</f>
        <v>93623880240</v>
      </c>
      <c r="F34" s="13" t="n">
        <f aca="false">(E34+$B$12*12)*(1-$B$10)</f>
        <v>-18631152179700</v>
      </c>
    </row>
    <row r="35" customFormat="false" ht="15" hidden="false" customHeight="true" outlineLevel="0" collapsed="false">
      <c r="A35" s="5" t="s">
        <v>32</v>
      </c>
      <c r="B35" s="10" t="n">
        <f aca="false">B34*$B$6</f>
        <v>-59700000</v>
      </c>
      <c r="C35" s="10" t="n">
        <f aca="false">C34*$B$6</f>
        <v>11820600000</v>
      </c>
      <c r="D35" s="10" t="n">
        <f aca="false">D34*$B$6</f>
        <v>-2352359100000</v>
      </c>
      <c r="E35" s="10" t="n">
        <f aca="false">E34*$B$6</f>
        <v>468119401200000</v>
      </c>
      <c r="F35" s="10" t="n">
        <f aca="false">F34*$B$6</f>
        <v>-93155760898500000</v>
      </c>
    </row>
    <row r="36" customFormat="false" ht="15" hidden="false" customHeight="true" outlineLevel="0" collapsed="false">
      <c r="A36" s="5" t="s">
        <v>33</v>
      </c>
      <c r="B36" s="10" t="n">
        <f aca="false">$B$6/$B$10*$B$9</f>
        <v>1.25</v>
      </c>
      <c r="C36" s="10" t="n">
        <f aca="false">$B$6/$B$10*$B$9</f>
        <v>1.25</v>
      </c>
      <c r="D36" s="10" t="n">
        <f aca="false">$B$6/$B$10*$B$9</f>
        <v>1.25</v>
      </c>
      <c r="E36" s="10" t="n">
        <f aca="false">$B$6/$B$10*$B$9</f>
        <v>1.25</v>
      </c>
      <c r="F36" s="10" t="n">
        <f aca="false">$B$6/$B$10*$B$9</f>
        <v>1.25</v>
      </c>
    </row>
    <row r="37" customFormat="false" ht="15" hidden="false" customHeight="true" outlineLevel="0" collapsed="false">
      <c r="A37" s="5" t="s">
        <v>34</v>
      </c>
      <c r="B37" s="14" t="n">
        <f aca="false">B36/$B$11</f>
        <v>0.0625</v>
      </c>
      <c r="C37" s="14" t="n">
        <f aca="false">C36/$B$11</f>
        <v>0.0625</v>
      </c>
      <c r="D37" s="14" t="n">
        <f aca="false">D36/$B$11</f>
        <v>0.0625</v>
      </c>
      <c r="E37" s="14" t="n">
        <f aca="false">E36/$B$11</f>
        <v>0.0625</v>
      </c>
      <c r="F37" s="14" t="n">
        <f aca="false">F36/$B$11</f>
        <v>0.0625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
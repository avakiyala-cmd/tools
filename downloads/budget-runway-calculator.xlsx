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 &amp; Runwa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<sst xmlns="http://schemas.openxmlformats.org/spreadsheetml/2006/main" count="33" uniqueCount="33">
  <si>
    <t xml:space="preserve">Startup Budget &amp; Runway Calculator</t>
  </si>
  <si>
    <t xml:space="preserve">Vectral AI | www.vectralai.com</t>
  </si>
  <si>
    <t xml:space="preserve">STARTING POSITION</t>
  </si>
  <si>
    <t xml:space="preserve">Cash in bank ($)</t>
  </si>
  <si>
    <t xml:space="preserve">MONTHLY EXPENSES</t>
  </si>
  <si>
    <t xml:space="preserve">Month 1</t>
  </si>
  <si>
    <t xml:space="preserve">Month 2</t>
  </si>
  <si>
    <t xml:space="preserve">Month 3</t>
  </si>
  <si>
    <t xml:space="preserve">Month 4</t>
  </si>
  <si>
    <t xml:space="preserve">Month 5</t>
  </si>
  <si>
    <t xml:space="preserve">Month 6</t>
  </si>
  <si>
    <t xml:space="preserve">Month 7</t>
  </si>
  <si>
    <t xml:space="preserve">Month 8</t>
  </si>
  <si>
    <t xml:space="preserve">Month 9</t>
  </si>
  <si>
    <t xml:space="preserve">Month 10</t>
  </si>
  <si>
    <t xml:space="preserve">Month 11</t>
  </si>
  <si>
    <t xml:space="preserve">Month 12</t>
  </si>
  <si>
    <t xml:space="preserve">Salaries &amp; wages</t>
  </si>
  <si>
    <t xml:space="preserve">Rent &amp; utilities</t>
  </si>
  <si>
    <t xml:space="preserve">Software &amp; tools</t>
  </si>
  <si>
    <t xml:space="preserve">Marketing &amp; ads</t>
  </si>
  <si>
    <t xml:space="preserve">Legal &amp; accounting</t>
  </si>
  <si>
    <t xml:space="preserve">Insurance</t>
  </si>
  <si>
    <t xml:space="preserve">Travel</t>
  </si>
  <si>
    <t xml:space="preserve">Other expenses</t>
  </si>
  <si>
    <t xml:space="preserve">TOTAL EXPENSES</t>
  </si>
  <si>
    <t xml:space="preserve">MONTHLY REVENUE</t>
  </si>
  <si>
    <t xml:space="preserve">Revenue</t>
  </si>
  <si>
    <t xml:space="preserve">BURN &amp; RUNWAY</t>
  </si>
  <si>
    <t xml:space="preserve">Net burn</t>
  </si>
  <si>
    <t xml:space="preserve">Cash balance</t>
  </si>
  <si>
    <t xml:space="preserve">Avg monthly burn</t>
  </si>
  <si>
    <t xml:space="preserve">RUNWAY (months)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</si>
</sst>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D2340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11"/>
      <color rgb="FF0D234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0D234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0D2340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D234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3" min="2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250000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6"/>
      <c r="B8" s="6" t="s">
        <v>5</v>
      </c>
      <c r="C8" s="6" t="s">
        <v>6</v>
      </c>
      <c r="D8" s="6" t="s">
        <v>7</v>
      </c>
      <c r="E8" s="6" t="s">
        <v>8</v>
      </c>
      <c r="F8" s="6" t="s">
        <v>9</v>
      </c>
      <c r="G8" s="6" t="s">
        <v>10</v>
      </c>
      <c r="H8" s="6" t="s">
        <v>11</v>
      </c>
      <c r="I8" s="6" t="s">
        <v>12</v>
      </c>
      <c r="J8" s="6" t="s">
        <v>13</v>
      </c>
      <c r="K8" s="6" t="s">
        <v>14</v>
      </c>
      <c r="L8" s="6" t="s">
        <v>15</v>
      </c>
      <c r="M8" s="6" t="s">
        <v>16</v>
      </c>
    </row>
    <row r="9" customFormat="false" ht="15" hidden="false" customHeight="false" outlineLevel="0" collapsed="false">
      <c r="A9" s="4" t="s">
        <v>17</v>
      </c>
      <c r="B9" s="5" t="n">
        <v>15000</v>
      </c>
      <c r="C9" s="5" t="n">
        <v>15000</v>
      </c>
      <c r="D9" s="5" t="n">
        <v>15000</v>
      </c>
      <c r="E9" s="5" t="n">
        <v>15000</v>
      </c>
      <c r="F9" s="5" t="n">
        <v>15000</v>
      </c>
      <c r="G9" s="5" t="n">
        <v>15000</v>
      </c>
      <c r="H9" s="5" t="n">
        <v>15000</v>
      </c>
      <c r="I9" s="5" t="n">
        <v>15000</v>
      </c>
      <c r="J9" s="5" t="n">
        <v>15000</v>
      </c>
      <c r="K9" s="5" t="n">
        <v>15000</v>
      </c>
      <c r="L9" s="5" t="n">
        <v>15000</v>
      </c>
      <c r="M9" s="5" t="n">
        <v>15000</v>
      </c>
    </row>
    <row r="10" customFormat="false" ht="15" hidden="false" customHeight="false" outlineLevel="0" collapsed="false">
      <c r="A10" s="4" t="s">
        <v>18</v>
      </c>
      <c r="B10" s="5" t="n">
        <v>3000</v>
      </c>
      <c r="C10" s="5" t="n">
        <v>3000</v>
      </c>
      <c r="D10" s="5" t="n">
        <v>3000</v>
      </c>
      <c r="E10" s="5" t="n">
        <v>3000</v>
      </c>
      <c r="F10" s="5" t="n">
        <v>3000</v>
      </c>
      <c r="G10" s="5" t="n">
        <v>3000</v>
      </c>
      <c r="H10" s="5" t="n">
        <v>3000</v>
      </c>
      <c r="I10" s="5" t="n">
        <v>3000</v>
      </c>
      <c r="J10" s="5" t="n">
        <v>3000</v>
      </c>
      <c r="K10" s="5" t="n">
        <v>3000</v>
      </c>
      <c r="L10" s="5" t="n">
        <v>3000</v>
      </c>
      <c r="M10" s="5" t="n">
        <v>3000</v>
      </c>
    </row>
    <row r="11" customFormat="false" ht="15" hidden="false" customHeight="false" outlineLevel="0" collapsed="false">
      <c r="A11" s="4" t="s">
        <v>19</v>
      </c>
      <c r="B11" s="5" t="n">
        <v>1500</v>
      </c>
      <c r="C11" s="5" t="n">
        <v>1500</v>
      </c>
      <c r="D11" s="5" t="n">
        <v>1500</v>
      </c>
      <c r="E11" s="5" t="n">
        <v>1500</v>
      </c>
      <c r="F11" s="5" t="n">
        <v>1500</v>
      </c>
      <c r="G11" s="5" t="n">
        <v>1500</v>
      </c>
      <c r="H11" s="5" t="n">
        <v>1500</v>
      </c>
      <c r="I11" s="5" t="n">
        <v>1500</v>
      </c>
      <c r="J11" s="5" t="n">
        <v>1500</v>
      </c>
      <c r="K11" s="5" t="n">
        <v>1500</v>
      </c>
      <c r="L11" s="5" t="n">
        <v>1500</v>
      </c>
      <c r="M11" s="5" t="n">
        <v>1500</v>
      </c>
    </row>
    <row r="12" customFormat="false" ht="15" hidden="false" customHeight="false" outlineLevel="0" collapsed="false">
      <c r="A12" s="4" t="s">
        <v>20</v>
      </c>
      <c r="B12" s="5" t="n">
        <v>5000</v>
      </c>
      <c r="C12" s="5" t="n">
        <v>5000</v>
      </c>
      <c r="D12" s="5" t="n">
        <v>5000</v>
      </c>
      <c r="E12" s="5" t="n">
        <v>5000</v>
      </c>
      <c r="F12" s="5" t="n">
        <v>5000</v>
      </c>
      <c r="G12" s="5" t="n">
        <v>5000</v>
      </c>
      <c r="H12" s="5" t="n">
        <v>5000</v>
      </c>
      <c r="I12" s="5" t="n">
        <v>5000</v>
      </c>
      <c r="J12" s="5" t="n">
        <v>5000</v>
      </c>
      <c r="K12" s="5" t="n">
        <v>5000</v>
      </c>
      <c r="L12" s="5" t="n">
        <v>5000</v>
      </c>
      <c r="M12" s="5" t="n">
        <v>5000</v>
      </c>
    </row>
    <row r="13" customFormat="false" ht="15" hidden="false" customHeight="false" outlineLevel="0" collapsed="false">
      <c r="A13" s="4" t="s">
        <v>21</v>
      </c>
      <c r="B13" s="5" t="n">
        <v>1000</v>
      </c>
      <c r="C13" s="5" t="n">
        <v>1000</v>
      </c>
      <c r="D13" s="5" t="n">
        <v>1000</v>
      </c>
      <c r="E13" s="5" t="n">
        <v>1000</v>
      </c>
      <c r="F13" s="5" t="n">
        <v>1000</v>
      </c>
      <c r="G13" s="5" t="n">
        <v>1000</v>
      </c>
      <c r="H13" s="5" t="n">
        <v>1000</v>
      </c>
      <c r="I13" s="5" t="n">
        <v>1000</v>
      </c>
      <c r="J13" s="5" t="n">
        <v>1000</v>
      </c>
      <c r="K13" s="5" t="n">
        <v>1000</v>
      </c>
      <c r="L13" s="5" t="n">
        <v>1000</v>
      </c>
      <c r="M13" s="5" t="n">
        <v>1000</v>
      </c>
    </row>
    <row r="14" customFormat="false" ht="15" hidden="false" customHeight="false" outlineLevel="0" collapsed="false">
      <c r="A14" s="4" t="s">
        <v>22</v>
      </c>
      <c r="B14" s="5" t="n">
        <v>500</v>
      </c>
      <c r="C14" s="5" t="n">
        <v>500</v>
      </c>
      <c r="D14" s="5" t="n">
        <v>500</v>
      </c>
      <c r="E14" s="5" t="n">
        <v>500</v>
      </c>
      <c r="F14" s="5" t="n">
        <v>500</v>
      </c>
      <c r="G14" s="5" t="n">
        <v>500</v>
      </c>
      <c r="H14" s="5" t="n">
        <v>500</v>
      </c>
      <c r="I14" s="5" t="n">
        <v>500</v>
      </c>
      <c r="J14" s="5" t="n">
        <v>500</v>
      </c>
      <c r="K14" s="5" t="n">
        <v>500</v>
      </c>
      <c r="L14" s="5" t="n">
        <v>500</v>
      </c>
      <c r="M14" s="5" t="n">
        <v>500</v>
      </c>
    </row>
    <row r="15" customFormat="false" ht="15" hidden="false" customHeight="false" outlineLevel="0" collapsed="false">
      <c r="A15" s="4" t="s">
        <v>23</v>
      </c>
      <c r="B15" s="5" t="n">
        <v>1000</v>
      </c>
      <c r="C15" s="5" t="n">
        <v>1000</v>
      </c>
      <c r="D15" s="5" t="n">
        <v>1000</v>
      </c>
      <c r="E15" s="5" t="n">
        <v>1000</v>
      </c>
      <c r="F15" s="5" t="n">
        <v>1000</v>
      </c>
      <c r="G15" s="5" t="n">
        <v>1000</v>
      </c>
      <c r="H15" s="5" t="n">
        <v>1000</v>
      </c>
      <c r="I15" s="5" t="n">
        <v>1000</v>
      </c>
      <c r="J15" s="5" t="n">
        <v>1000</v>
      </c>
      <c r="K15" s="5" t="n">
        <v>1000</v>
      </c>
      <c r="L15" s="5" t="n">
        <v>1000</v>
      </c>
      <c r="M15" s="5" t="n">
        <v>1000</v>
      </c>
    </row>
    <row r="16" customFormat="false" ht="15" hidden="false" customHeight="false" outlineLevel="0" collapsed="false">
      <c r="A16" s="4" t="s">
        <v>24</v>
      </c>
      <c r="B16" s="5" t="n">
        <v>500</v>
      </c>
      <c r="C16" s="5" t="n">
        <v>500</v>
      </c>
      <c r="D16" s="5" t="n">
        <v>500</v>
      </c>
      <c r="E16" s="5" t="n">
        <v>500</v>
      </c>
      <c r="F16" s="5" t="n">
        <v>500</v>
      </c>
      <c r="G16" s="5" t="n">
        <v>500</v>
      </c>
      <c r="H16" s="5" t="n">
        <v>500</v>
      </c>
      <c r="I16" s="5" t="n">
        <v>500</v>
      </c>
      <c r="J16" s="5" t="n">
        <v>500</v>
      </c>
      <c r="K16" s="5" t="n">
        <v>500</v>
      </c>
      <c r="L16" s="5" t="n">
        <v>500</v>
      </c>
      <c r="M16" s="5" t="n">
        <v>500</v>
      </c>
    </row>
    <row r="17" customFormat="false" ht="15" hidden="false" customHeight="false" outlineLevel="0" collapsed="false">
      <c r="A17" s="7" t="s">
        <v>25</v>
      </c>
      <c r="B17" s="8" t="n">
        <f aca="false">SUM(B9:B16)</f>
        <v>27500</v>
      </c>
      <c r="C17" s="8" t="n">
        <f aca="false">SUM(C9:C16)</f>
        <v>27500</v>
      </c>
      <c r="D17" s="8" t="n">
        <f aca="false">SUM(D9:D16)</f>
        <v>27500</v>
      </c>
      <c r="E17" s="8" t="n">
        <f aca="false">SUM(E9:E16)</f>
        <v>27500</v>
      </c>
      <c r="F17" s="8" t="n">
        <f aca="false">SUM(F9:F16)</f>
        <v>27500</v>
      </c>
      <c r="G17" s="8" t="n">
        <f aca="false">SUM(G9:G16)</f>
        <v>27500</v>
      </c>
      <c r="H17" s="8" t="n">
        <f aca="false">SUM(H9:H16)</f>
        <v>27500</v>
      </c>
      <c r="I17" s="8" t="n">
        <f aca="false">SUM(I9:I16)</f>
        <v>27500</v>
      </c>
      <c r="J17" s="8" t="n">
        <f aca="false">SUM(J9:J16)</f>
        <v>27500</v>
      </c>
      <c r="K17" s="8" t="n">
        <f aca="false">SUM(K9:K16)</f>
        <v>27500</v>
      </c>
      <c r="L17" s="8" t="n">
        <f aca="false">SUM(L9:L16)</f>
        <v>27500</v>
      </c>
      <c r="M17" s="8" t="n">
        <f aca="false">SUM(M9:M16)</f>
        <v>27500</v>
      </c>
    </row>
    <row r="19" customFormat="false" ht="15" hidden="false" customHeight="false" outlineLevel="0" collapsed="false">
      <c r="A19" s="3" t="s">
        <v>26</v>
      </c>
    </row>
    <row r="20" customFormat="false" ht="15" hidden="false" customHeight="false" outlineLevel="0" collapsed="false">
      <c r="A20" s="4" t="s">
        <v>27</v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</row>
    <row r="22" customFormat="false" ht="15" hidden="false" customHeight="false" outlineLevel="0" collapsed="false">
      <c r="A22" s="3" t="s">
        <v>28</v>
      </c>
    </row>
    <row r="23" customFormat="false" ht="15" hidden="false" customHeight="false" outlineLevel="0" collapsed="false">
      <c r="A23" s="4" t="s">
        <v>29</v>
      </c>
      <c r="B23" s="9" t="n">
        <f aca="false">B17-B20</f>
        <v>27500</v>
      </c>
      <c r="C23" s="9" t="n">
        <f aca="false">C17-C20</f>
        <v>27500</v>
      </c>
      <c r="D23" s="9" t="n">
        <f aca="false">D17-D20</f>
        <v>27500</v>
      </c>
      <c r="E23" s="9" t="n">
        <f aca="false">E17-E20</f>
        <v>27500</v>
      </c>
      <c r="F23" s="9" t="n">
        <f aca="false">F17-F20</f>
        <v>27500</v>
      </c>
      <c r="G23" s="9" t="n">
        <f aca="false">G17-G20</f>
        <v>27500</v>
      </c>
      <c r="H23" s="9" t="n">
        <f aca="false">H17-H20</f>
        <v>27500</v>
      </c>
      <c r="I23" s="9" t="n">
        <f aca="false">I17-I20</f>
        <v>27500</v>
      </c>
      <c r="J23" s="9" t="n">
        <f aca="false">J17-J20</f>
        <v>27500</v>
      </c>
      <c r="K23" s="9" t="n">
        <f aca="false">K17-K20</f>
        <v>27500</v>
      </c>
      <c r="L23" s="9" t="n">
        <f aca="false">L17-L20</f>
        <v>27500</v>
      </c>
      <c r="M23" s="9" t="n">
        <f aca="false">M17-M20</f>
        <v>27500</v>
      </c>
    </row>
    <row r="24" customFormat="false" ht="15" hidden="false" customHeight="false" outlineLevel="0" collapsed="false">
      <c r="A24" s="7" t="s">
        <v>30</v>
      </c>
      <c r="B24" s="9" t="n">
        <f aca="false">B5-B23</f>
        <v>222500</v>
      </c>
      <c r="C24" s="9" t="n">
        <f aca="false">B24-C23</f>
        <v>195000</v>
      </c>
      <c r="D24" s="9" t="n">
        <f aca="false">C24-D23</f>
        <v>167500</v>
      </c>
      <c r="E24" s="9" t="n">
        <f aca="false">D24-E23</f>
        <v>140000</v>
      </c>
      <c r="F24" s="9" t="n">
        <f aca="false">E24-F23</f>
        <v>112500</v>
      </c>
      <c r="G24" s="9" t="n">
        <f aca="false">F24-G23</f>
        <v>85000</v>
      </c>
      <c r="H24" s="9" t="n">
        <f aca="false">G24-H23</f>
        <v>57500</v>
      </c>
      <c r="I24" s="9" t="n">
        <f aca="false">H24-I23</f>
        <v>30000</v>
      </c>
      <c r="J24" s="9" t="n">
        <f aca="false">I24-J23</f>
        <v>2500</v>
      </c>
      <c r="K24" s="9" t="n">
        <f aca="false">J24-K23</f>
        <v>-25000</v>
      </c>
      <c r="L24" s="9" t="n">
        <f aca="false">K24-L23</f>
        <v>-52500</v>
      </c>
      <c r="M24" s="9" t="n">
        <f aca="false">L24-M23</f>
        <v>-80000</v>
      </c>
    </row>
    <row r="26" customFormat="false" ht="15" hidden="false" customHeight="false" outlineLevel="0" collapsed="false">
      <c r="A26" s="4" t="s">
        <v>31</v>
      </c>
      <c r="B26" s="9" t="n">
        <f aca="false">AVERAGE(B23:M23)</f>
        <v>27500</v>
      </c>
    </row>
    <row r="27" customFormat="false" ht="17.35" hidden="false" customHeight="false" outlineLevel="0" collapsed="false">
      <c r="A27" s="10" t="s">
        <v>32</v>
      </c>
      <c r="B27" s="11" t="n">
        <f aca="false">IF(B26&lt;=0,"Profitable",B5/B26)</f>
        <v>9.09090909090909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2026-09-16T20:10:54Z</dcterms:created>
  <dc:creator>openpyxl</dc:creator>
  <dc:description/>
  <dc:language>en-US</dc:language>
  <cp:lastModifiedBy/>
  <dcterms:modified xsi:type="dcterms:W3CDTF">2026-09-16T20:10:54Z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
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 Box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<sst xmlns="http://schemas.openxmlformats.org/spreadsheetml/2006/main" count="35" uniqueCount="35">
  <si>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Subscription Box Financial Model</t>
  </si>
  <si>
    <t xml:space="preserve">Vectral AI | www.vectralai.com</t>
  </si>
  <si>
    <t xml:space="preserve">INPUTS</t>
  </si>
  <si>
    <t xml:space="preserve">Monthly subscription price ($)</t>
  </si>
  <si>
    <t xml:space="preserve">COGS per box ($)</t>
  </si>
  <si>
    <t xml:space="preserve">Shipping per box ($)</t>
  </si>
  <si>
    <t xml:space="preserve">Packaging per box ($)</t>
  </si>
  <si>
    <t xml:space="preserve">Customer acquisition cost ($)</t>
  </si>
  <si>
    <t xml:space="preserve">Monthly churn rate (%)</t>
  </si>
  <si>
    <t xml:space="preserve">Starting subscribers</t>
  </si>
  <si>
    <t xml:space="preserve">New subscribers per month</t>
  </si>
  <si>
    <t xml:space="preserve">Monthly fixed costs ($)</t>
  </si>
  <si>
    <t xml:space="preserve">12-MONTH PROJECTION</t>
  </si>
  <si>
    <t xml:space="preserve">Month</t>
  </si>
  <si>
    <t xml:space="preserve">Starting Subs</t>
  </si>
  <si>
    <t xml:space="preserve">New Subs</t>
  </si>
  <si>
    <t xml:space="preserve">Churned</t>
  </si>
  <si>
    <t xml:space="preserve">Ending Subs</t>
  </si>
  <si>
    <t xml:space="preserve">Revenue</t>
  </si>
  <si>
    <t xml:space="preserve">COGS+Ship+Pack</t>
  </si>
  <si>
    <t xml:space="preserve">CAC Spend</t>
  </si>
  <si>
    <t xml:space="preserve">Fixed Costs</t>
  </si>
  <si>
    <t xml:space="preserve">Net Profit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</si>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</sst>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"/>
    <numFmt numFmtId="168" formatCode="General"/>
    <numFmt numFmtId="169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D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39.99</v>
      </c>
    </row>
    <row r="6" customFormat="false" ht="15" hidden="false" customHeight="false" outlineLevel="0" collapsed="false">
      <c r="A6" s="4" t="s">
        <v>4</v>
      </c>
      <c r="B6" s="5" t="n">
        <v>15</v>
      </c>
    </row>
    <row r="7" customFormat="false" ht="15" hidden="false" customHeight="false" outlineLevel="0" collapsed="false">
      <c r="A7" s="4" t="s">
        <v>5</v>
      </c>
      <c r="B7" s="5" t="n">
        <v>6.99</v>
      </c>
    </row>
    <row r="8" customFormat="false" ht="15" hidden="false" customHeight="false" outlineLevel="0" collapsed="false">
      <c r="A8" s="4" t="s">
        <v>6</v>
      </c>
      <c r="B8" s="5" t="n">
        <v>3.5</v>
      </c>
    </row>
    <row r="9" customFormat="false" ht="15" hidden="false" customHeight="false" outlineLevel="0" collapsed="false">
      <c r="A9" s="4" t="s">
        <v>7</v>
      </c>
      <c r="B9" s="5" t="n">
        <v>25</v>
      </c>
    </row>
    <row r="10" customFormat="false" ht="15" hidden="false" customHeight="false" outlineLevel="0" collapsed="false">
      <c r="A10" s="4" t="s">
        <v>8</v>
      </c>
      <c r="B10" s="6" t="n">
        <v>0.08</v>
      </c>
    </row>
    <row r="11" customFormat="false" ht="15" hidden="false" customHeight="false" outlineLevel="0" collapsed="false">
      <c r="A11" s="4" t="s">
        <v>9</v>
      </c>
      <c r="B11" s="7" t="n">
        <v>100</v>
      </c>
    </row>
    <row r="12" customFormat="false" ht="15" hidden="false" customHeight="false" outlineLevel="0" collapsed="false">
      <c r="A12" s="4" t="s">
        <v>10</v>
      </c>
      <c r="B12" s="7" t="n">
        <v>50</v>
      </c>
    </row>
    <row r="13" customFormat="false" ht="15" hidden="false" customHeight="false" outlineLevel="0" collapsed="false">
      <c r="A13" s="4" t="s">
        <v>11</v>
      </c>
      <c r="B13" s="5" t="n">
        <v>5000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8" t="s">
        <v>13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  <c r="G17" s="8" t="s">
        <v>19</v>
      </c>
      <c r="H17" s="8" t="s">
        <v>20</v>
      </c>
      <c r="I17" s="8" t="s">
        <v>21</v>
      </c>
      <c r="J17" s="8" t="s">
        <v>22</v>
      </c>
    </row>
    <row r="18" customFormat="false" ht="15" hidden="false" customHeight="false" outlineLevel="0" collapsed="false">
      <c r="A18" s="0" t="s">
        <v>23</v>
      </c>
      <c r="B18" s="9" t="n">
        <f aca="false">B11</f>
        <v>100</v>
      </c>
      <c r="C18" s="9" t="n">
        <f aca="false">B12</f>
        <v>50</v>
      </c>
      <c r="D18" s="10" t="n">
        <f aca="false">ROUND(B18*$B$10,0)</f>
        <v>8</v>
      </c>
      <c r="E18" s="10" t="n">
        <f aca="false">B18+C18-D18</f>
        <v>142</v>
      </c>
      <c r="F18" s="11" t="n">
        <f aca="false">E18*$B$5</f>
        <v>5678.58</v>
      </c>
      <c r="G18" s="11" t="n">
        <f aca="false">E18*($B$6+$B$7+$B$8)</f>
        <v>3619.58</v>
      </c>
      <c r="H18" s="11" t="n">
        <f aca="false">C18*$B$9</f>
        <v>1250</v>
      </c>
      <c r="I18" s="11" t="n">
        <f aca="false">$B$13</f>
        <v>5000</v>
      </c>
      <c r="J18" s="11" t="n">
        <f aca="false">F18-G18-H18-I18</f>
        <v>-4191</v>
      </c>
    </row>
    <row r="19" customFormat="false" ht="15" hidden="false" customHeight="false" outlineLevel="0" collapsed="false">
      <c r="A19" s="0" t="s">
        <v>24</v>
      </c>
      <c r="B19" s="0" t="n">
        <f aca="false">E18</f>
        <v>142</v>
      </c>
      <c r="C19" s="9" t="n">
        <f aca="false">B12</f>
        <v>50</v>
      </c>
      <c r="D19" s="10" t="n">
        <f aca="false">ROUND(B19*$B$10,0)</f>
        <v>11</v>
      </c>
      <c r="E19" s="10" t="n">
        <f aca="false">B19+C19-D19</f>
        <v>181</v>
      </c>
      <c r="F19" s="11" t="n">
        <f aca="false">E19*$B$5</f>
        <v>7238.19</v>
      </c>
      <c r="G19" s="11" t="n">
        <f aca="false">E19*($B$6+$B$7+$B$8)</f>
        <v>4613.69</v>
      </c>
      <c r="H19" s="11" t="n">
        <f aca="false">C19*$B$9</f>
        <v>1250</v>
      </c>
      <c r="I19" s="11" t="n">
        <f aca="false">$B$13</f>
        <v>5000</v>
      </c>
      <c r="J19" s="11" t="n">
        <f aca="false">F19-G19-H19-I19</f>
        <v>-3625.5</v>
      </c>
    </row>
    <row r="20" customFormat="false" ht="15" hidden="false" customHeight="false" outlineLevel="0" collapsed="false">
      <c r="A20" s="0" t="s">
        <v>25</v>
      </c>
      <c r="B20" s="0" t="n">
        <f aca="false">E19</f>
        <v>181</v>
      </c>
      <c r="C20" s="9" t="n">
        <f aca="false">B12</f>
        <v>50</v>
      </c>
      <c r="D20" s="10" t="n">
        <f aca="false">ROUND(B20*$B$10,0)</f>
        <v>14</v>
      </c>
      <c r="E20" s="10" t="n">
        <f aca="false">B20+C20-D20</f>
        <v>217</v>
      </c>
      <c r="F20" s="11" t="n">
        <f aca="false">E20*$B$5</f>
        <v>8677.83</v>
      </c>
      <c r="G20" s="11" t="n">
        <f aca="false">E20*($B$6+$B$7+$B$8)</f>
        <v>5531.33</v>
      </c>
      <c r="H20" s="11" t="n">
        <f aca="false">C20*$B$9</f>
        <v>1250</v>
      </c>
      <c r="I20" s="11" t="n">
        <f aca="false">$B$13</f>
        <v>5000</v>
      </c>
      <c r="J20" s="11" t="n">
        <f aca="false">F20-G20-H20-I20</f>
        <v>-3103.5</v>
      </c>
    </row>
    <row r="21" customFormat="false" ht="15" hidden="false" customHeight="false" outlineLevel="0" collapsed="false">
      <c r="A21" s="0" t="s">
        <v>26</v>
      </c>
      <c r="B21" s="0" t="n">
        <f aca="false">E20</f>
        <v>217</v>
      </c>
      <c r="C21" s="9" t="n">
        <f aca="false">B12</f>
        <v>50</v>
      </c>
      <c r="D21" s="10" t="n">
        <f aca="false">ROUND(B21*$B$10,0)</f>
        <v>17</v>
      </c>
      <c r="E21" s="10" t="n">
        <f aca="false">B21+C21-D21</f>
        <v>250</v>
      </c>
      <c r="F21" s="11" t="n">
        <f aca="false">E21*$B$5</f>
        <v>9997.5</v>
      </c>
      <c r="G21" s="11" t="n">
        <f aca="false">E21*($B$6+$B$7+$B$8)</f>
        <v>6372.5</v>
      </c>
      <c r="H21" s="11" t="n">
        <f aca="false">C21*$B$9</f>
        <v>1250</v>
      </c>
      <c r="I21" s="11" t="n">
        <f aca="false">$B$13</f>
        <v>5000</v>
      </c>
      <c r="J21" s="11" t="n">
        <f aca="false">F21-G21-H21-I21</f>
        <v>-2625</v>
      </c>
    </row>
    <row r="22" customFormat="false" ht="15" hidden="false" customHeight="false" outlineLevel="0" collapsed="false">
      <c r="A22" s="0" t="s">
        <v>27</v>
      </c>
      <c r="B22" s="0" t="n">
        <f aca="false">E21</f>
        <v>250</v>
      </c>
      <c r="C22" s="9" t="n">
        <f aca="false">B12</f>
        <v>50</v>
      </c>
      <c r="D22" s="10" t="n">
        <f aca="false">ROUND(B22*$B$10,0)</f>
        <v>20</v>
      </c>
      <c r="E22" s="10" t="n">
        <f aca="false">B22+C22-D22</f>
        <v>280</v>
      </c>
      <c r="F22" s="11" t="n">
        <f aca="false">E22*$B$5</f>
        <v>11197.2</v>
      </c>
      <c r="G22" s="11" t="n">
        <f aca="false">E22*($B$6+$B$7+$B$8)</f>
        <v>7137.2</v>
      </c>
      <c r="H22" s="11" t="n">
        <f aca="false">C22*$B$9</f>
        <v>1250</v>
      </c>
      <c r="I22" s="11" t="n">
        <f aca="false">$B$13</f>
        <v>5000</v>
      </c>
      <c r="J22" s="11" t="n">
        <f aca="false">F22-G22-H22-I22</f>
        <v>-2190</v>
      </c>
    </row>
    <row r="23" customFormat="false" ht="15" hidden="false" customHeight="false" outlineLevel="0" collapsed="false">
      <c r="A23" s="0" t="s">
        <v>28</v>
      </c>
      <c r="B23" s="0" t="n">
        <f aca="false">E22</f>
        <v>280</v>
      </c>
      <c r="C23" s="9" t="n">
        <f aca="false">B12</f>
        <v>50</v>
      </c>
      <c r="D23" s="10" t="n">
        <f aca="false">ROUND(B23*$B$10,0)</f>
        <v>22</v>
      </c>
      <c r="E23" s="10" t="n">
        <f aca="false">B23+C23-D23</f>
        <v>308</v>
      </c>
      <c r="F23" s="11" t="n">
        <f aca="false">E23*$B$5</f>
        <v>12316.92</v>
      </c>
      <c r="G23" s="11" t="n">
        <f aca="false">E23*($B$6+$B$7+$B$8)</f>
        <v>7850.92</v>
      </c>
      <c r="H23" s="11" t="n">
        <f aca="false">C23*$B$9</f>
        <v>1250</v>
      </c>
      <c r="I23" s="11" t="n">
        <f aca="false">$B$13</f>
        <v>5000</v>
      </c>
      <c r="J23" s="11" t="n">
        <f aca="false">F23-G23-H23-I23</f>
        <v>-1784</v>
      </c>
    </row>
    <row r="24" customFormat="false" ht="15" hidden="false" customHeight="false" outlineLevel="0" collapsed="false">
      <c r="A24" s="0" t="s">
        <v>29</v>
      </c>
      <c r="B24" s="0" t="n">
        <f aca="false">E23</f>
        <v>308</v>
      </c>
      <c r="C24" s="9" t="n">
        <f aca="false">B12</f>
        <v>50</v>
      </c>
      <c r="D24" s="10" t="n">
        <f aca="false">ROUND(B24*$B$10,0)</f>
        <v>25</v>
      </c>
      <c r="E24" s="10" t="n">
        <f aca="false">B24+C24-D24</f>
        <v>333</v>
      </c>
      <c r="F24" s="11" t="n">
        <f aca="false">E24*$B$5</f>
        <v>13316.67</v>
      </c>
      <c r="G24" s="11" t="n">
        <f aca="false">E24*($B$6+$B$7+$B$8)</f>
        <v>8488.17</v>
      </c>
      <c r="H24" s="11" t="n">
        <f aca="false">C24*$B$9</f>
        <v>1250</v>
      </c>
      <c r="I24" s="11" t="n">
        <f aca="false">$B$13</f>
        <v>5000</v>
      </c>
      <c r="J24" s="11" t="n">
        <f aca="false">F24-G24-H24-I24</f>
        <v>-1421.5</v>
      </c>
    </row>
    <row r="25" customFormat="false" ht="15" hidden="false" customHeight="false" outlineLevel="0" collapsed="false">
      <c r="A25" s="0" t="s">
        <v>30</v>
      </c>
      <c r="B25" s="0" t="n">
        <f aca="false">E24</f>
        <v>333</v>
      </c>
      <c r="C25" s="9" t="n">
        <f aca="false">B12</f>
        <v>50</v>
      </c>
      <c r="D25" s="10" t="n">
        <f aca="false">ROUND(B25*$B$10,0)</f>
        <v>27</v>
      </c>
      <c r="E25" s="10" t="n">
        <f aca="false">B25+C25-D25</f>
        <v>356</v>
      </c>
      <c r="F25" s="11" t="n">
        <f aca="false">E25*$B$5</f>
        <v>14236.44</v>
      </c>
      <c r="G25" s="11" t="n">
        <f aca="false">E25*($B$6+$B$7+$B$8)</f>
        <v>9074.44</v>
      </c>
      <c r="H25" s="11" t="n">
        <f aca="false">C25*$B$9</f>
        <v>1250</v>
      </c>
      <c r="I25" s="11" t="n">
        <f aca="false">$B$13</f>
        <v>5000</v>
      </c>
      <c r="J25" s="11" t="n">
        <f aca="false">F25-G25-H25-I25</f>
        <v>-1088</v>
      </c>
    </row>
    <row r="26" customFormat="false" ht="15" hidden="false" customHeight="false" outlineLevel="0" collapsed="false">
      <c r="A26" s="0" t="s">
        <v>31</v>
      </c>
      <c r="B26" s="0" t="n">
        <f aca="false">E25</f>
        <v>356</v>
      </c>
      <c r="C26" s="9" t="n">
        <f aca="false">B12</f>
        <v>50</v>
      </c>
      <c r="D26" s="10" t="n">
        <f aca="false">ROUND(B26*$B$10,0)</f>
        <v>28</v>
      </c>
      <c r="E26" s="10" t="n">
        <f aca="false">B26+C26-D26</f>
        <v>378</v>
      </c>
      <c r="F26" s="11" t="n">
        <f aca="false">E26*$B$5</f>
        <v>15116.22</v>
      </c>
      <c r="G26" s="11" t="n">
        <f aca="false">E26*($B$6+$B$7+$B$8)</f>
        <v>9635.22</v>
      </c>
      <c r="H26" s="11" t="n">
        <f aca="false">C26*$B$9</f>
        <v>1250</v>
      </c>
      <c r="I26" s="11" t="n">
        <f aca="false">$B$13</f>
        <v>5000</v>
      </c>
      <c r="J26" s="11" t="n">
        <f aca="false">F26-G26-H26-I26</f>
        <v>-769</v>
      </c>
    </row>
    <row r="27" customFormat="false" ht="15" hidden="false" customHeight="false" outlineLevel="0" collapsed="false">
      <c r="A27" s="0" t="s">
        <v>32</v>
      </c>
      <c r="B27" s="0" t="n">
        <f aca="false">E26</f>
        <v>378</v>
      </c>
      <c r="C27" s="9" t="n">
        <f aca="false">B12</f>
        <v>50</v>
      </c>
      <c r="D27" s="10" t="n">
        <f aca="false">ROUND(B27*$B$10,0)</f>
        <v>30</v>
      </c>
      <c r="E27" s="10" t="n">
        <f aca="false">B27+C27-D27</f>
        <v>398</v>
      </c>
      <c r="F27" s="11" t="n">
        <f aca="false">E27*$B$5</f>
        <v>15916.02</v>
      </c>
      <c r="G27" s="11" t="n">
        <f aca="false">E27*($B$6+$B$7+$B$8)</f>
        <v>10145.02</v>
      </c>
      <c r="H27" s="11" t="n">
        <f aca="false">C27*$B$9</f>
        <v>1250</v>
      </c>
      <c r="I27" s="11" t="n">
        <f aca="false">$B$13</f>
        <v>5000</v>
      </c>
      <c r="J27" s="11" t="n">
        <f aca="false">F27-G27-H27-I27</f>
        <v>-479</v>
      </c>
    </row>
    <row r="28" customFormat="false" ht="15" hidden="false" customHeight="false" outlineLevel="0" collapsed="false">
      <c r="A28" s="0" t="s">
        <v>33</v>
      </c>
      <c r="B28" s="0" t="n">
        <f aca="false">E27</f>
        <v>398</v>
      </c>
      <c r="C28" s="9" t="n">
        <f aca="false">B12</f>
        <v>50</v>
      </c>
      <c r="D28" s="10" t="n">
        <f aca="false">ROUND(B28*$B$10,0)</f>
        <v>32</v>
      </c>
      <c r="E28" s="10" t="n">
        <f aca="false">B28+C28-D28</f>
        <v>416</v>
      </c>
      <c r="F28" s="11" t="n">
        <f aca="false">E28*$B$5</f>
        <v>16635.84</v>
      </c>
      <c r="G28" s="11" t="n">
        <f aca="false">E28*($B$6+$B$7+$B$8)</f>
        <v>10603.84</v>
      </c>
      <c r="H28" s="11" t="n">
        <f aca="false">C28*$B$9</f>
        <v>1250</v>
      </c>
      <c r="I28" s="11" t="n">
        <f aca="false">$B$13</f>
        <v>5000</v>
      </c>
      <c r="J28" s="11" t="n">
        <f aca="false">F28-G28-H28-I28</f>
        <v>-218</v>
      </c>
    </row>
    <row r="29" customFormat="false" ht="15" hidden="false" customHeight="false" outlineLevel="0" collapsed="false">
      <c r="A29" s="0" t="s">
        <v>34</v>
      </c>
      <c r="B29" s="0" t="n">
        <f aca="false">E28</f>
        <v>416</v>
      </c>
      <c r="C29" s="9" t="n">
        <f aca="false">B12</f>
        <v>50</v>
      </c>
      <c r="D29" s="10" t="n">
        <f aca="false">ROUND(B29*$B$10,0)</f>
        <v>33</v>
      </c>
      <c r="E29" s="10" t="n">
        <f aca="false">B29+C29-D29</f>
        <v>433</v>
      </c>
      <c r="F29" s="11" t="n">
        <f aca="false">E29*$B$5</f>
        <v>17315.67</v>
      </c>
      <c r="G29" s="11" t="n">
        <f aca="false">E29*($B$6+$B$7+$B$8)</f>
        <v>11037.17</v>
      </c>
      <c r="H29" s="11" t="n">
        <f aca="false">C29*$B$9</f>
        <v>1250</v>
      </c>
      <c r="I29" s="11" t="n">
        <f aca="false">$B$13</f>
        <v>5000</v>
      </c>
      <c r="J29" s="11" t="n">
        <f aca="false">F29-G29-H29-I29</f>
        <v>28.5000000000018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
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ing Calculat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<sst xmlns="http://schemas.openxmlformats.org/spreadsheetml/2006/main" count="23" uniqueCount="23">
  <si>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Freelancer Pricing Calculator</t>
  </si>
  <si>
    <t xml:space="preserve">Vectral AI | www.vectralai.com</t>
  </si>
  <si>
    <t xml:space="preserve">YOUR INPUTS</t>
  </si>
  <si>
    <t xml:space="preserve">Annual income goal ($)</t>
  </si>
  <si>
    <t xml:space="preserve">Billable hours per week</t>
  </si>
  <si>
    <t xml:space="preserve">Weeks worked per year</t>
  </si>
  <si>
    <t xml:space="preserve">Business expenses per year ($)</t>
  </si>
  <si>
    <t xml:space="preserve">Tax rate (%)</t>
  </si>
  <si>
    <t xml:space="preserve">Profit margin target (%)</t>
  </si>
  <si>
    <t xml:space="preserve">CALCULATED RATES</t>
  </si>
  <si>
    <t xml:space="preserve">Total billable hours/year</t>
  </si>
  <si>
    <t xml:space="preserve">Revenue needed (pre-tax)</t>
  </si>
  <si>
    <t xml:space="preserve">Revenue with profit margin</t>
  </si>
  <si>
    <t xml:space="preserve">MINIMUM HOURLY RATE</t>
  </si>
  <si>
    <t xml:space="preserve">PROJECT PRICING</t>
  </si>
  <si>
    <t xml:space="preserve">Project Type</t>
  </si>
  <si>
    <t xml:space="preserve">Estimated Hours</t>
  </si>
  <si>
    <t xml:space="preserve">Hourly Rate</t>
  </si>
  <si>
    <t xml:space="preserve">Project Price</t>
  </si>
  <si>
    <t xml:space="preserve">Website Design</t>
  </si>
  <si>
    <t xml:space="preserve">Brand Identity</t>
  </si>
  <si>
    <t xml:space="preserve">Marketing Strategy</t>
  </si>
  <si>
    <t xml:space="preserve">Monthly Retainer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</si>
</sst>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%"/>
    <numFmt numFmtId="167" formatCode="\$#,##0"/>
    <numFmt numFmtId="168" formatCode="\$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D2340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1"/>
      <color rgb="FF0D234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0D234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0D2340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234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4" min="3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100000</v>
      </c>
    </row>
    <row r="6" customFormat="false" ht="15" hidden="false" customHeight="false" outlineLevel="0" collapsed="false">
      <c r="A6" s="4" t="s">
        <v>4</v>
      </c>
      <c r="B6" s="5" t="n">
        <v>25</v>
      </c>
    </row>
    <row r="7" customFormat="false" ht="15" hidden="false" customHeight="false" outlineLevel="0" collapsed="false">
      <c r="A7" s="4" t="s">
        <v>5</v>
      </c>
      <c r="B7" s="5" t="n">
        <v>48</v>
      </c>
    </row>
    <row r="8" customFormat="false" ht="15" hidden="false" customHeight="false" outlineLevel="0" collapsed="false">
      <c r="A8" s="4" t="s">
        <v>6</v>
      </c>
      <c r="B8" s="5" t="n">
        <v>12000</v>
      </c>
    </row>
    <row r="9" customFormat="false" ht="15" hidden="false" customHeight="false" outlineLevel="0" collapsed="false">
      <c r="A9" s="4" t="s">
        <v>7</v>
      </c>
      <c r="B9" s="6" t="n">
        <v>0.3</v>
      </c>
    </row>
    <row r="10" customFormat="false" ht="15" hidden="false" customHeight="false" outlineLevel="0" collapsed="false">
      <c r="A10" s="4" t="s">
        <v>8</v>
      </c>
      <c r="B10" s="6" t="n">
        <v>0.2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4" t="s">
        <v>10</v>
      </c>
      <c r="B14" s="7" t="n">
        <f aca="false">B6*B7</f>
        <v>1200</v>
      </c>
    </row>
    <row r="15" customFormat="false" ht="15" hidden="false" customHeight="false" outlineLevel="0" collapsed="false">
      <c r="A15" s="4" t="s">
        <v>11</v>
      </c>
      <c r="B15" s="8" t="n">
        <f aca="false">(B5+B8)/(1-B9)</f>
        <v>160000</v>
      </c>
    </row>
    <row r="16" customFormat="false" ht="15" hidden="false" customHeight="false" outlineLevel="0" collapsed="false">
      <c r="A16" s="4" t="s">
        <v>12</v>
      </c>
      <c r="B16" s="8" t="n">
        <f aca="false">B15/(1-B10)</f>
        <v>200000</v>
      </c>
    </row>
    <row r="18" customFormat="false" ht="17.35" hidden="false" customHeight="false" outlineLevel="0" collapsed="false">
      <c r="A18" s="9" t="s">
        <v>13</v>
      </c>
      <c r="B18" s="10" t="n">
        <f aca="false">B16/B14</f>
        <v>166.666666666667</v>
      </c>
    </row>
    <row r="20" customFormat="false" ht="15" hidden="false" customHeight="false" outlineLevel="0" collapsed="false">
      <c r="A20" s="3" t="s">
        <v>14</v>
      </c>
    </row>
    <row r="21" customFormat="false" ht="15" hidden="false" customHeight="false" outlineLevel="0" collapsed="false">
      <c r="A21" s="11" t="s">
        <v>15</v>
      </c>
      <c r="B21" s="11" t="s">
        <v>16</v>
      </c>
      <c r="C21" s="11" t="s">
        <v>17</v>
      </c>
      <c r="D21" s="11" t="s">
        <v>18</v>
      </c>
    </row>
    <row r="22" customFormat="false" ht="15" hidden="false" customHeight="false" outlineLevel="0" collapsed="false">
      <c r="A22" s="0" t="s">
        <v>19</v>
      </c>
      <c r="B22" s="12" t="n">
        <v>40</v>
      </c>
      <c r="C22" s="13" t="n">
        <f aca="false">$B$18</f>
        <v>166.666666666667</v>
      </c>
      <c r="D22" s="8" t="n">
        <f aca="false">B22*C22</f>
        <v>6666.66666666667</v>
      </c>
    </row>
    <row r="23" customFormat="false" ht="15" hidden="false" customHeight="false" outlineLevel="0" collapsed="false">
      <c r="A23" s="0" t="s">
        <v>20</v>
      </c>
      <c r="B23" s="12" t="n">
        <v>25</v>
      </c>
      <c r="C23" s="13" t="n">
        <f aca="false">$B$18</f>
        <v>166.666666666667</v>
      </c>
      <c r="D23" s="8" t="n">
        <f aca="false">B23*C23</f>
        <v>4166.66666666667</v>
      </c>
    </row>
    <row r="24" customFormat="false" ht="15" hidden="false" customHeight="false" outlineLevel="0" collapsed="false">
      <c r="A24" s="0" t="s">
        <v>21</v>
      </c>
      <c r="B24" s="12" t="n">
        <v>15</v>
      </c>
      <c r="C24" s="13" t="n">
        <f aca="false">$B$18</f>
        <v>166.666666666667</v>
      </c>
      <c r="D24" s="8" t="n">
        <f aca="false">B24*C24</f>
        <v>2500</v>
      </c>
    </row>
    <row r="25" customFormat="false" ht="15" hidden="false" customHeight="false" outlineLevel="0" collapsed="false">
      <c r="A25" s="0" t="s">
        <v>22</v>
      </c>
      <c r="B25" s="12" t="n">
        <v>20</v>
      </c>
      <c r="C25" s="13" t="n">
        <f aca="false">$B$18</f>
        <v>166.666666666667</v>
      </c>
      <c r="D25" s="8" t="n">
        <f aca="false">B25*C25</f>
        <v>3333.33333333333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2026-09-16T20:10:54Z</dcterms:created>
  <dc:creator>openpyxl</dc:creator>
  <dc:description/>
  <dc:language>en-US</dc:language>
  <cp:lastModifiedBy/>
  <dcterms:modified xsi:type="dcterms:W3CDTF">2026-09-16T20:10:54Z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
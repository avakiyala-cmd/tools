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nit Economic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<sst xmlns="http://schemas.openxmlformats.org/spreadsheetml/2006/main" count="24" uniqueCount="24">
  <si>
    <t xml:space="preserve">E-commerce Unit Economics Calculator</t>
  </si>
  <si>
    <t xml:space="preserve">Vectral AI | www.vectralai.com</t>
  </si>
  <si>
    <t xml:space="preserve">PRODUCT INPUTS</t>
  </si>
  <si>
    <t xml:space="preserve">Product selling price ($)</t>
  </si>
  <si>
    <t xml:space="preserve">Cost of goods (COGS) ($)</t>
  </si>
  <si>
    <t xml:space="preserve">Shipping cost per order ($)</t>
  </si>
  <si>
    <t xml:space="preserve">Packaging cost ($)</t>
  </si>
  <si>
    <t xml:space="preserve">Payment processing (%)</t>
  </si>
  <si>
    <t xml:space="preserve">Payment fixed fee ($)</t>
  </si>
  <si>
    <t xml:space="preserve">Return rate (%)</t>
  </si>
  <si>
    <t xml:space="preserve">Monthly ad spend ($)</t>
  </si>
  <si>
    <t xml:space="preserve">Monthly orders from ads</t>
  </si>
  <si>
    <t xml:space="preserve">Monthly organic orders</t>
  </si>
  <si>
    <t xml:space="preserve">CALCULATED METRICS</t>
  </si>
  <si>
    <t xml:space="preserve">Gross profit per unit</t>
  </si>
  <si>
    <t xml:space="preserve">Gross margin</t>
  </si>
  <si>
    <t xml:space="preserve">Cost per acquisition (CPA)</t>
  </si>
  <si>
    <t xml:space="preserve">Return cost per order</t>
  </si>
  <si>
    <t xml:space="preserve">Net profit per unit (after returns)</t>
  </si>
  <si>
    <t xml:space="preserve">Break-even ROAS</t>
  </si>
  <si>
    <t xml:space="preserve">Actual ROAS</t>
  </si>
  <si>
    <t xml:space="preserve">Monthly gross revenue</t>
  </si>
  <si>
    <t xml:space="preserve">Monthly net profit</t>
  </si>
  <si>
    <t xml:space="preserve">Annual projected profit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</si>
</sst>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"/>
    <numFmt numFmtId="166" formatCode="0.0%"/>
    <numFmt numFmtId="167" formatCode="0.0\x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D2340"/>
      <name val="Arial"/>
      <family val="0"/>
      <charset val="1"/>
    </font>
    <font>
      <sz val="9"/>
      <color rgb="FF888888"/>
      <name val="Arial"/>
      <family val="0"/>
      <charset val="1"/>
    </font>
    <font>
      <b val="true"/>
      <sz val="11"/>
      <color rgb="FF0D234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D234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v>49.99</v>
      </c>
    </row>
    <row r="6" customFormat="false" ht="15" hidden="false" customHeight="false" outlineLevel="0" collapsed="false">
      <c r="A6" s="4" t="s">
        <v>4</v>
      </c>
      <c r="B6" s="5" t="n">
        <v>12.5</v>
      </c>
    </row>
    <row r="7" customFormat="false" ht="15" hidden="false" customHeight="false" outlineLevel="0" collapsed="false">
      <c r="A7" s="4" t="s">
        <v>5</v>
      </c>
      <c r="B7" s="5" t="n">
        <v>5.99</v>
      </c>
    </row>
    <row r="8" customFormat="false" ht="15" hidden="false" customHeight="false" outlineLevel="0" collapsed="false">
      <c r="A8" s="4" t="s">
        <v>6</v>
      </c>
      <c r="B8" s="5" t="n">
        <v>2</v>
      </c>
    </row>
    <row r="9" customFormat="false" ht="15" hidden="false" customHeight="false" outlineLevel="0" collapsed="false">
      <c r="A9" s="4" t="s">
        <v>7</v>
      </c>
      <c r="B9" s="6" t="n">
        <v>0.029</v>
      </c>
    </row>
    <row r="10" customFormat="false" ht="15" hidden="false" customHeight="false" outlineLevel="0" collapsed="false">
      <c r="A10" s="4" t="s">
        <v>8</v>
      </c>
      <c r="B10" s="5" t="n">
        <v>0.3</v>
      </c>
    </row>
    <row r="11" customFormat="false" ht="15" hidden="false" customHeight="false" outlineLevel="0" collapsed="false">
      <c r="A11" s="4" t="s">
        <v>9</v>
      </c>
      <c r="B11" s="6" t="n">
        <v>0.08</v>
      </c>
    </row>
    <row r="12" customFormat="false" ht="15" hidden="false" customHeight="false" outlineLevel="0" collapsed="false">
      <c r="A12" s="4" t="s">
        <v>10</v>
      </c>
      <c r="B12" s="5" t="n">
        <v>5000</v>
      </c>
    </row>
    <row r="13" customFormat="false" ht="15" hidden="false" customHeight="false" outlineLevel="0" collapsed="false">
      <c r="A13" s="4" t="s">
        <v>11</v>
      </c>
      <c r="B13" s="5" t="n">
        <v>200</v>
      </c>
    </row>
    <row r="14" customFormat="false" ht="15" hidden="false" customHeight="false" outlineLevel="0" collapsed="false">
      <c r="A14" s="4" t="s">
        <v>12</v>
      </c>
      <c r="B14" s="5" t="n">
        <v>50</v>
      </c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4" t="s">
        <v>14</v>
      </c>
      <c r="B18" s="7" t="n">
        <f aca="false">B5-B6-B7-B8-(B5*B9)-B10</f>
        <v>27.75029</v>
      </c>
    </row>
    <row r="19" customFormat="false" ht="15" hidden="false" customHeight="false" outlineLevel="0" collapsed="false">
      <c r="A19" s="4" t="s">
        <v>15</v>
      </c>
      <c r="B19" s="8" t="n">
        <f aca="false">B18/B5</f>
        <v>0.555116823364673</v>
      </c>
    </row>
    <row r="20" customFormat="false" ht="15" hidden="false" customHeight="false" outlineLevel="0" collapsed="false">
      <c r="A20" s="4" t="s">
        <v>16</v>
      </c>
      <c r="B20" s="7" t="n">
        <f aca="false">B12/B13</f>
        <v>25</v>
      </c>
    </row>
    <row r="21" customFormat="false" ht="15" hidden="false" customHeight="false" outlineLevel="0" collapsed="false">
      <c r="A21" s="4" t="s">
        <v>17</v>
      </c>
      <c r="B21" s="7" t="n">
        <f aca="false">B11*B5</f>
        <v>3.9992</v>
      </c>
    </row>
    <row r="22" customFormat="false" ht="15" hidden="false" customHeight="false" outlineLevel="0" collapsed="false">
      <c r="A22" s="4" t="s">
        <v>18</v>
      </c>
      <c r="B22" s="7" t="n">
        <f aca="false">B18-(B21*B5/B13)</f>
        <v>26.75068996</v>
      </c>
    </row>
    <row r="23" customFormat="false" ht="15" hidden="false" customHeight="false" outlineLevel="0" collapsed="false">
      <c r="A23" s="4" t="s">
        <v>19</v>
      </c>
      <c r="B23" s="9" t="n">
        <f aca="false">B5/B22</f>
        <v>1.8687368465916</v>
      </c>
    </row>
    <row r="24" customFormat="false" ht="15" hidden="false" customHeight="false" outlineLevel="0" collapsed="false">
      <c r="A24" s="4" t="s">
        <v>20</v>
      </c>
      <c r="B24" s="9" t="n">
        <f aca="false">(B13*B5)/B12</f>
        <v>1.9996</v>
      </c>
    </row>
    <row r="25" customFormat="false" ht="15" hidden="false" customHeight="false" outlineLevel="0" collapsed="false">
      <c r="A25" s="4" t="s">
        <v>21</v>
      </c>
      <c r="B25" s="7" t="n">
        <f aca="false">(B13+B14)*B5</f>
        <v>12497.5</v>
      </c>
    </row>
    <row r="26" customFormat="false" ht="15" hidden="false" customHeight="false" outlineLevel="0" collapsed="false">
      <c r="A26" s="4" t="s">
        <v>22</v>
      </c>
      <c r="B26" s="7" t="n">
        <f aca="false">B25-((B13+B14)*(B6+B7+B8+(B5*B9)+B10))-B12-(B11*(B13+B14)*B5)</f>
        <v>937.772499999999</v>
      </c>
    </row>
    <row r="27" customFormat="false" ht="15" hidden="false" customHeight="false" outlineLevel="0" collapsed="false">
      <c r="A27" s="4" t="s">
        <v>23</v>
      </c>
      <c r="B27" s="7" t="n">
        <f aca="false">B26*12</f>
        <v>11253.27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2026-09-16T20:10:54Z</dcterms:created>
  <dc:creator>openpyxl</dc:creator>
  <dc:description/>
  <dc:language>en-US</dc:language>
  <cp:lastModifiedBy/>
  <dcterms:modified xsi:type="dcterms:W3CDTF">2026-09-16T20:10:54Z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
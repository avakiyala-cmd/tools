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<sst xmlns="http://schemas.openxmlformats.org/spreadsheetml/2006/main" count="28" uniqueCount="28">
  <si>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Startup Valuation Calculator</t>
  </si>
  <si>
    <t xml:space="preserve">Vectral AI | www.vectralai.com</t>
  </si>
  <si>
    <t xml:space="preserve">REVENUE MULTIPLE METHOD</t>
  </si>
  <si>
    <t xml:space="preserve">Annual recurring revenue (ARR) ($)</t>
  </si>
  <si>
    <t xml:space="preserve">Revenue growth rate (%)</t>
  </si>
  <si>
    <t xml:space="preserve">Industry revenue multiple (x)</t>
  </si>
  <si>
    <t xml:space="preserve">Discount for illiquidity (%)</t>
  </si>
  <si>
    <t xml:space="preserve">Base valuation</t>
  </si>
  <si>
    <t xml:space="preserve">Growth-adjusted valuation</t>
  </si>
  <si>
    <t xml:space="preserve">ESTIMATED VALUATION</t>
  </si>
  <si>
    <t xml:space="preserve">DCF METHOD</t>
  </si>
  <si>
    <t xml:space="preserve">Year 1 free cash flow ($)</t>
  </si>
  <si>
    <t xml:space="preserve">Growth rate years 1-3 (%)</t>
  </si>
  <si>
    <t xml:space="preserve">Growth rate years 4-5 (%)</t>
  </si>
  <si>
    <t xml:space="preserve">Terminal growth rate (%)</t>
  </si>
  <si>
    <t xml:space="preserve">Discount rate (WACC) (%)</t>
  </si>
  <si>
    <t xml:space="preserve">Year</t>
  </si>
  <si>
    <t xml:space="preserve">FCF</t>
  </si>
  <si>
    <t xml:space="preserve">Discount Factor</t>
  </si>
  <si>
    <t xml:space="preserve">Present Value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</si>
  <si>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</si>
  <si>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</si>
  <si>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</si>
  <si>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</si>
  <si>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</si>
  <si>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Sum of PV of FCFs</t>
  </si>
  <si>
    <t xml:space="preserve">Terminal value PV</t>
  </si>
  <si>
    <t xml:space="preserve">DCF VALUATION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</si>
</sst>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D23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500000</v>
      </c>
    </row>
    <row r="6" customFormat="false" ht="15" hidden="false" customHeight="false" outlineLevel="0" collapsed="false">
      <c r="A6" s="4" t="s">
        <v>4</v>
      </c>
      <c r="B6" s="6" t="n">
        <v>0.5</v>
      </c>
    </row>
    <row r="7" customFormat="false" ht="15" hidden="false" customHeight="false" outlineLevel="0" collapsed="false">
      <c r="A7" s="4" t="s">
        <v>5</v>
      </c>
      <c r="B7" s="7" t="n">
        <v>8</v>
      </c>
    </row>
    <row r="8" customFormat="false" ht="15" hidden="false" customHeight="false" outlineLevel="0" collapsed="false">
      <c r="A8" s="4" t="s">
        <v>6</v>
      </c>
      <c r="B8" s="6" t="n">
        <v>0.25</v>
      </c>
    </row>
    <row r="10" customFormat="false" ht="15" hidden="false" customHeight="false" outlineLevel="0" collapsed="false">
      <c r="A10" s="4" t="s">
        <v>7</v>
      </c>
      <c r="B10" s="8" t="n">
        <f aca="false">B5*B7</f>
        <v>4000000</v>
      </c>
    </row>
    <row r="11" customFormat="false" ht="15" hidden="false" customHeight="false" outlineLevel="0" collapsed="false">
      <c r="A11" s="4" t="s">
        <v>8</v>
      </c>
      <c r="B11" s="8" t="n">
        <f aca="false">B10*(1+B6)</f>
        <v>6000000</v>
      </c>
    </row>
    <row r="12" customFormat="false" ht="17.35" hidden="false" customHeight="false" outlineLevel="0" collapsed="false">
      <c r="A12" s="9" t="s">
        <v>9</v>
      </c>
      <c r="B12" s="10" t="n">
        <f aca="false">B11*(1-B8)</f>
        <v>4500000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  <c r="B15" s="5" t="n">
        <v>100000</v>
      </c>
    </row>
    <row r="16" customFormat="false" ht="15" hidden="false" customHeight="false" outlineLevel="0" collapsed="false">
      <c r="A16" s="4" t="s">
        <v>12</v>
      </c>
      <c r="B16" s="6" t="n">
        <v>0.4</v>
      </c>
    </row>
    <row r="17" customFormat="false" ht="15" hidden="false" customHeight="false" outlineLevel="0" collapsed="false">
      <c r="A17" s="4" t="s">
        <v>13</v>
      </c>
      <c r="B17" s="6" t="n">
        <v>0.2</v>
      </c>
    </row>
    <row r="18" customFormat="false" ht="15" hidden="false" customHeight="false" outlineLevel="0" collapsed="false">
      <c r="A18" s="4" t="s">
        <v>14</v>
      </c>
      <c r="B18" s="6" t="n">
        <v>0.03</v>
      </c>
    </row>
    <row r="19" customFormat="false" ht="15" hidden="false" customHeight="false" outlineLevel="0" collapsed="false">
      <c r="A19" s="4" t="s">
        <v>15</v>
      </c>
      <c r="B19" s="6" t="n">
        <v>0.15</v>
      </c>
    </row>
    <row r="21" customFormat="false" ht="15" hidden="false" customHeight="false" outlineLevel="0" collapsed="false">
      <c r="A21" s="11" t="s">
        <v>16</v>
      </c>
      <c r="B21" s="11" t="s">
        <v>17</v>
      </c>
      <c r="C21" s="11" t="s">
        <v>18</v>
      </c>
      <c r="D21" s="11" t="s">
        <v>19</v>
      </c>
    </row>
    <row r="22" customFormat="false" ht="15" hidden="false" customHeight="false" outlineLevel="0" collapsed="false">
      <c r="A22" s="0" t="s">
        <v>20</v>
      </c>
      <c r="B22" s="8" t="n">
        <f aca="false">B15</f>
        <v>100000</v>
      </c>
      <c r="C22" s="12" t="n">
        <f aca="false">1/(1+$B$19)^1</f>
        <v>0.869565217391304</v>
      </c>
      <c r="D22" s="8" t="n">
        <f aca="false">B22*C22</f>
        <v>86956.5217391305</v>
      </c>
    </row>
    <row r="23" customFormat="false" ht="15" hidden="false" customHeight="false" outlineLevel="0" collapsed="false">
      <c r="A23" s="0" t="s">
        <v>21</v>
      </c>
      <c r="B23" s="8" t="n">
        <f aca="false">B22*(1+$B$16)</f>
        <v>140000</v>
      </c>
      <c r="C23" s="12" t="n">
        <f aca="false">1/(1+$B$19)^2</f>
        <v>0.756143667296787</v>
      </c>
      <c r="D23" s="8" t="n">
        <f aca="false">B23*C23</f>
        <v>105860.11342155</v>
      </c>
    </row>
    <row r="24" customFormat="false" ht="15" hidden="false" customHeight="false" outlineLevel="0" collapsed="false">
      <c r="A24" s="0" t="s">
        <v>22</v>
      </c>
      <c r="B24" s="8" t="n">
        <f aca="false">B23*(1+$B$16)</f>
        <v>196000</v>
      </c>
      <c r="C24" s="12" t="n">
        <f aca="false">1/(1+$B$19)^3</f>
        <v>0.657516232431988</v>
      </c>
      <c r="D24" s="8" t="n">
        <f aca="false">B24*C24</f>
        <v>128873.18155667</v>
      </c>
    </row>
    <row r="25" customFormat="false" ht="15" hidden="false" customHeight="false" outlineLevel="0" collapsed="false">
      <c r="A25" s="0" t="s">
        <v>23</v>
      </c>
      <c r="B25" s="8" t="n">
        <f aca="false">B24*(1+$B$17)</f>
        <v>235200</v>
      </c>
      <c r="C25" s="12" t="n">
        <f aca="false">1/(1+$B$19)^4</f>
        <v>0.571753245593033</v>
      </c>
      <c r="D25" s="8" t="n">
        <f aca="false">B25*C25</f>
        <v>134476.363363481</v>
      </c>
    </row>
    <row r="26" customFormat="false" ht="15" hidden="false" customHeight="false" outlineLevel="0" collapsed="false">
      <c r="A26" s="0" t="s">
        <v>24</v>
      </c>
      <c r="B26" s="8" t="n">
        <f aca="false">B25*(1+$B$17)</f>
        <v>282240</v>
      </c>
      <c r="C26" s="12" t="n">
        <f aca="false">1/(1+$B$19)^5</f>
        <v>0.49717673529829</v>
      </c>
      <c r="D26" s="8" t="n">
        <f aca="false">B26*C26</f>
        <v>140323.161770589</v>
      </c>
    </row>
    <row r="28" customFormat="false" ht="15" hidden="false" customHeight="false" outlineLevel="0" collapsed="false">
      <c r="A28" s="4" t="s">
        <v>25</v>
      </c>
      <c r="D28" s="8" t="n">
        <f aca="false">SUM(D22:D26)</f>
        <v>596489.341851421</v>
      </c>
    </row>
    <row r="29" customFormat="false" ht="15" hidden="false" customHeight="false" outlineLevel="0" collapsed="false">
      <c r="A29" s="4" t="s">
        <v>26</v>
      </c>
      <c r="D29" s="8" t="n">
        <f aca="false">(B26*(1+B18)/(B19-B18))*C26</f>
        <v>1204440.47186423</v>
      </c>
    </row>
    <row r="30" customFormat="false" ht="17.35" hidden="false" customHeight="false" outlineLevel="0" collapsed="false">
      <c r="A30" s="9" t="s">
        <v>27</v>
      </c>
      <c r="D30" s="10" t="n">
        <f aca="false">D28+D29</f>
        <v>1800929.81371565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